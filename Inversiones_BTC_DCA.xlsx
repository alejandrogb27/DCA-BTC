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Junio 2026" sheetId="2" state="visible" r:id="rId4"/>
    <sheet name="Julio 2026" sheetId="3" state="visible" r:id="rId5"/>
    <sheet name="Agosto 2026" sheetId="4" state="visible" r:id="rId6"/>
    <sheet name="Septiembre 2026" sheetId="5" state="visible" r:id="rId7"/>
    <sheet name="Gananc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<sst xmlns="http://schemas.openxmlformats.org/spreadsheetml/2006/main" count="155" uniqueCount="134">
  <si>
    <t xml:space="preserve">Mes</t>
  </si>
  <si>
    <t xml:space="preserve">Compras</t>
  </si>
  <si>
    <t xml:space="preserve">Total ARS</t>
  </si>
  <si>
    <t xml:space="preserve">Total BTC</t>
  </si>
  <si>
    <t xml:space="preserve">Total Satoshis</t>
  </si>
  <si>
    <t xml:space="preserve">Precio prom. ARS/BTC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</si>
  <si>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</si>
  <si>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</si>
  <si>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</si>
  <si>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</si>
  <si>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TOTAL GENERAL</t>
  </si>
  <si>
    <t xml:space="preserve">Nota: DCA diario financiado con intereses de billeteras virtuales en ARS. Junio, julio y agosto cerrados. Septiembre en curso (incluye días sin compra como $0).</t>
  </si>
  <si>
    <t xml:space="preserve">Fecha</t>
  </si>
  <si>
    <t xml:space="preserve">ARS invertidos</t>
  </si>
  <si>
    <t xml:space="preserve">BTC comprado</t>
  </si>
  <si>
    <t xml:space="preserve">Satoshis</t>
  </si>
  <si>
    <t xml:space="preserve">Precio ARS/BTC</t>
  </si>
  <si>
    <t xml:space="preserve">1/6</t>
  </si>
  <si>
    <t xml:space="preserve">2/6</t>
  </si>
  <si>
    <t xml:space="preserve">3/6</t>
  </si>
  <si>
    <t xml:space="preserve">4/6</t>
  </si>
  <si>
    <t xml:space="preserve">5/6</t>
  </si>
  <si>
    <t xml:space="preserve">7/6</t>
  </si>
  <si>
    <t xml:space="preserve">8/6</t>
  </si>
  <si>
    <t xml:space="preserve">9/6</t>
  </si>
  <si>
    <t xml:space="preserve">10/6</t>
  </si>
  <si>
    <t xml:space="preserve">11/6</t>
  </si>
  <si>
    <t xml:space="preserve">12/6</t>
  </si>
  <si>
    <t xml:space="preserve">13/6</t>
  </si>
  <si>
    <t xml:space="preserve">14/6</t>
  </si>
  <si>
    <t xml:space="preserve">15/6</t>
  </si>
  <si>
    <t xml:space="preserve">16/6</t>
  </si>
  <si>
    <t xml:space="preserve">17/6</t>
  </si>
  <si>
    <t xml:space="preserve">18/6</t>
  </si>
  <si>
    <t xml:space="preserve">19/6</t>
  </si>
  <si>
    <t xml:space="preserve">20/6</t>
  </si>
  <si>
    <t xml:space="preserve">21/6</t>
  </si>
  <si>
    <t xml:space="preserve">22/6</t>
  </si>
  <si>
    <t xml:space="preserve">23/6</t>
  </si>
  <si>
    <t xml:space="preserve">24/6</t>
  </si>
  <si>
    <t xml:space="preserve">25/6</t>
  </si>
  <si>
    <t xml:space="preserve">26/6</t>
  </si>
  <si>
    <t xml:space="preserve">27/6</t>
  </si>
  <si>
    <t xml:space="preserve">28/6</t>
  </si>
  <si>
    <t xml:space="preserve">29/6</t>
  </si>
  <si>
    <t xml:space="preserve">30/6</t>
  </si>
  <si>
    <t xml:space="preserve">TOTAL</t>
  </si>
  <si>
    <t xml:space="preserve">PROMEDIO/día</t>
  </si>
  <si>
    <t xml:space="preserve">1/7</t>
  </si>
  <si>
    <t xml:space="preserve">2/7</t>
  </si>
  <si>
    <t xml:space="preserve">3/7</t>
  </si>
  <si>
    <t xml:space="preserve">4/7</t>
  </si>
  <si>
    <t xml:space="preserve">5/7</t>
  </si>
  <si>
    <t xml:space="preserve">6/7</t>
  </si>
  <si>
    <t xml:space="preserve">7/7</t>
  </si>
  <si>
    <t xml:space="preserve">8/7</t>
  </si>
  <si>
    <t xml:space="preserve">9/7</t>
  </si>
  <si>
    <t xml:space="preserve">10/7</t>
  </si>
  <si>
    <t xml:space="preserve">11/7</t>
  </si>
  <si>
    <t xml:space="preserve">12/7</t>
  </si>
  <si>
    <t xml:space="preserve">13/7</t>
  </si>
  <si>
    <t xml:space="preserve">14/7</t>
  </si>
  <si>
    <t xml:space="preserve">15/7</t>
  </si>
  <si>
    <t xml:space="preserve">16/7</t>
  </si>
  <si>
    <t xml:space="preserve">17/7</t>
  </si>
  <si>
    <t xml:space="preserve">18/7</t>
  </si>
  <si>
    <t xml:space="preserve">19/7</t>
  </si>
  <si>
    <t xml:space="preserve">20/7</t>
  </si>
  <si>
    <t xml:space="preserve">21/7</t>
  </si>
  <si>
    <t xml:space="preserve">22/7</t>
  </si>
  <si>
    <t xml:space="preserve">23/7</t>
  </si>
  <si>
    <t xml:space="preserve">24/7</t>
  </si>
  <si>
    <t xml:space="preserve">25/7</t>
  </si>
  <si>
    <t xml:space="preserve">26/7</t>
  </si>
  <si>
    <t xml:space="preserve">27/7</t>
  </si>
  <si>
    <t xml:space="preserve">28/7</t>
  </si>
  <si>
    <t xml:space="preserve">29/7</t>
  </si>
  <si>
    <t xml:space="preserve">30/7</t>
  </si>
  <si>
    <t xml:space="preserve">31/7</t>
  </si>
  <si>
    <t xml:space="preserve">1/8</t>
  </si>
  <si>
    <t xml:space="preserve">2/8</t>
  </si>
  <si>
    <t xml:space="preserve">3/8</t>
  </si>
  <si>
    <t xml:space="preserve">4/8</t>
  </si>
  <si>
    <t xml:space="preserve">5/8</t>
  </si>
  <si>
    <t xml:space="preserve">6/8</t>
  </si>
  <si>
    <t xml:space="preserve">7/8</t>
  </si>
  <si>
    <t xml:space="preserve">8/8</t>
  </si>
  <si>
    <t xml:space="preserve">9/8</t>
  </si>
  <si>
    <t xml:space="preserve">10/8</t>
  </si>
  <si>
    <t xml:space="preserve">11/8</t>
  </si>
  <si>
    <t xml:space="preserve">12/8</t>
  </si>
  <si>
    <t xml:space="preserve">13/8</t>
  </si>
  <si>
    <t xml:space="preserve">14/8</t>
  </si>
  <si>
    <t xml:space="preserve">15/8</t>
  </si>
  <si>
    <t xml:space="preserve">16/8</t>
  </si>
  <si>
    <t xml:space="preserve">17/8</t>
  </si>
  <si>
    <t xml:space="preserve">18/8</t>
  </si>
  <si>
    <t xml:space="preserve">19/8</t>
  </si>
  <si>
    <t xml:space="preserve">20/8</t>
  </si>
  <si>
    <t xml:space="preserve">21/8</t>
  </si>
  <si>
    <t xml:space="preserve">22/8</t>
  </si>
  <si>
    <t xml:space="preserve">23/8</t>
  </si>
  <si>
    <t xml:space="preserve">24/8</t>
  </si>
  <si>
    <t xml:space="preserve">25/8</t>
  </si>
  <si>
    <t xml:space="preserve">26/8</t>
  </si>
  <si>
    <t xml:space="preserve">27/8</t>
  </si>
  <si>
    <t xml:space="preserve">28/8</t>
  </si>
  <si>
    <t xml:space="preserve">29/8</t>
  </si>
  <si>
    <t xml:space="preserve">30/8</t>
  </si>
  <si>
    <t xml:space="preserve">31/8</t>
  </si>
  <si>
    <t xml:space="preserve">1/9</t>
  </si>
  <si>
    <t xml:space="preserve">2/9</t>
  </si>
  <si>
    <t xml:space="preserve">3/9</t>
  </si>
  <si>
    <t xml:space="preserve">4/9</t>
  </si>
  <si>
    <t xml:space="preserve">5/9</t>
  </si>
  <si>
    <t xml:space="preserve">6/9</t>
  </si>
  <si>
    <t xml:space="preserve">7/9</t>
  </si>
  <si>
    <t xml:space="preserve">8/9</t>
  </si>
  <si>
    <t xml:space="preserve">9/9</t>
  </si>
  <si>
    <t xml:space="preserve">10/9</t>
  </si>
  <si>
    <t xml:space="preserve">11/9</t>
  </si>
  <si>
    <t xml:space="preserve">12/9</t>
  </si>
  <si>
    <t xml:space="preserve">13/9</t>
  </si>
  <si>
    <t xml:space="preserve">Análisis de Ganancia / Pérdida</t>
  </si>
  <si>
    <t xml:space="preserve">Precio de referencia: última compra cargada</t>
  </si>
  <si>
    <t xml:space="preserve">Total invertido (ARS)</t>
  </si>
  <si>
    <t xml:space="preserve">BTC acumulados</t>
  </si>
  <si>
    <t xml:space="preserve">Satoshis acumulados</t>
  </si>
  <si>
    <t xml:space="preserve">Precio BTC de referencia (última compra)</t>
  </si>
  <si>
    <t xml:space="preserve">Valorización actual (ARS)</t>
  </si>
  <si>
    <t xml:space="preserve">Ganancia / Pérdida (ARS)</t>
  </si>
  <si>
    <t xml:space="preserve">Valorización de la inversión (%)</t>
  </si>
  <si>
    <t xml:space="preserve">Fecha de corte: última compra cargada en 'Septiembre 2026' (13/9).</t>
  </si>
  <si>
    <t xml:space="preserve">El precio de referencia es el implícito de la última operación de DCA, no una cotización de mercado externa.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</si>
</sst>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000000"/>
    <numFmt numFmtId="167" formatCode="#,##0"/>
    <numFmt numFmtId="168" formatCode="\+#,##0.00;\-#,##0.00"/>
    <numFmt numFmtId="169" formatCode="\+0.00\%;\-0.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6A3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n">
        <v>29</v>
      </c>
      <c r="C2" s="5" t="n">
        <f aca="false">'Junio 2026'!B31</f>
        <v>18959.32</v>
      </c>
      <c r="D2" s="6" t="n">
        <f aca="false">'Junio 2026'!C31</f>
        <v>0.00019315</v>
      </c>
      <c r="E2" s="7" t="n">
        <f aca="false">'Junio 2026'!D31</f>
        <v>19315</v>
      </c>
      <c r="F2" s="7" t="n">
        <f aca="false">C2/D2</f>
        <v>98158529.640176</v>
      </c>
    </row>
    <row r="3" customFormat="false" ht="15" hidden="false" customHeight="true" outlineLevel="0" collapsed="false">
      <c r="A3" s="3" t="s">
        <v>7</v>
      </c>
      <c r="B3" s="4" t="n">
        <v>31</v>
      </c>
      <c r="C3" s="5" t="n">
        <f aca="false">'Julio 2026'!B33</f>
        <v>17005.82</v>
      </c>
      <c r="D3" s="6" t="n">
        <f aca="false">'Julio 2026'!C33</f>
        <v>0.00016807</v>
      </c>
      <c r="E3" s="7" t="n">
        <f aca="false">'Julio 2026'!D33</f>
        <v>16807</v>
      </c>
      <c r="F3" s="7" t="n">
        <f aca="false">C3/D3</f>
        <v>101182959.481169</v>
      </c>
    </row>
    <row r="4" customFormat="false" ht="15" hidden="false" customHeight="true" outlineLevel="0" collapsed="false">
      <c r="A4" s="3" t="s">
        <v>8</v>
      </c>
      <c r="B4" s="4" t="n">
        <v>31</v>
      </c>
      <c r="C4" s="5" t="n">
        <f aca="false">'Agosto 2026'!B33</f>
        <v>14365.33</v>
      </c>
      <c r="D4" s="6" t="n">
        <f aca="false">'Agosto 2026'!C33</f>
        <v>0.00013155</v>
      </c>
      <c r="E4" s="7" t="n">
        <f aca="false">'Agosto 2026'!D33</f>
        <v>13155</v>
      </c>
      <c r="F4" s="7" t="n">
        <f aca="false">C4/D4</f>
        <v>109200532.117066</v>
      </c>
    </row>
    <row r="5" customFormat="false" ht="15" hidden="false" customHeight="true" outlineLevel="0" collapsed="false">
      <c r="A5" s="3" t="s">
        <v>9</v>
      </c>
      <c r="B5" s="4" t="n">
        <v>13</v>
      </c>
      <c r="C5" s="5" t="n">
        <f aca="false">'Septiembre 2026'!B15</f>
        <v>8704.2</v>
      </c>
      <c r="D5" s="6" t="n">
        <f aca="false">'Septiembre 2026'!C15</f>
        <v>6.859E-005</v>
      </c>
      <c r="E5" s="7" t="n">
        <f aca="false">'Septiembre 2026'!D15</f>
        <v>6859</v>
      </c>
      <c r="F5" s="7" t="n">
        <f aca="false">C5/D5</f>
        <v>126901880.740633</v>
      </c>
    </row>
    <row r="6" customFormat="false" ht="15" hidden="false" customHeight="true" outlineLevel="0" collapsed="false">
      <c r="A6" s="8" t="s">
        <v>10</v>
      </c>
      <c r="B6" s="8" t="n">
        <f aca="false">SUM(B2:B5)</f>
        <v>104</v>
      </c>
      <c r="C6" s="9" t="n">
        <f aca="false">SUM(C2:C5)</f>
        <v>59034.67</v>
      </c>
      <c r="D6" s="10" t="n">
        <f aca="false">SUM(D2:D5)</f>
        <v>0.00056136</v>
      </c>
      <c r="E6" s="11" t="n">
        <f aca="false">SUM(E2:E5)</f>
        <v>56136</v>
      </c>
      <c r="F6" s="11" t="n">
        <f aca="false">C6/D6</f>
        <v>105163656.120849</v>
      </c>
    </row>
    <row r="7" customFormat="false" ht="15" hidden="false" customHeight="true" outlineLevel="0" collapsed="false"/>
    <row r="8" customFormat="false" ht="15" hidden="false" customHeight="true" outlineLevel="0" collapsed="false">
      <c r="A8" s="1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customFormat="false" ht="15" hidden="false" customHeight="true" outlineLevel="0" collapsed="false">
      <c r="A2" s="4" t="s">
        <v>17</v>
      </c>
      <c r="B2" s="5" t="n">
        <v>921.56</v>
      </c>
      <c r="C2" s="6" t="n">
        <v>8.48E-006</v>
      </c>
      <c r="D2" s="7" t="n">
        <f aca="false">C2*100000000</f>
        <v>848</v>
      </c>
      <c r="E2" s="7" t="n">
        <f aca="false">B2/C2</f>
        <v>108674528.301887</v>
      </c>
    </row>
    <row r="3" customFormat="false" ht="15" hidden="false" customHeight="true" outlineLevel="0" collapsed="false">
      <c r="A3" s="4" t="s">
        <v>18</v>
      </c>
      <c r="B3" s="5" t="n">
        <v>288.8</v>
      </c>
      <c r="C3" s="6" t="n">
        <v>2.76E-006</v>
      </c>
      <c r="D3" s="7" t="n">
        <f aca="false">C3*100000000</f>
        <v>276</v>
      </c>
      <c r="E3" s="7" t="n">
        <f aca="false">B3/C3</f>
        <v>104637681.15942</v>
      </c>
    </row>
    <row r="4" customFormat="false" ht="15" hidden="false" customHeight="true" outlineLevel="0" collapsed="false">
      <c r="A4" s="4" t="s">
        <v>19</v>
      </c>
      <c r="B4" s="5" t="n">
        <v>1325.83</v>
      </c>
      <c r="C4" s="6" t="n">
        <v>1.299E-005</v>
      </c>
      <c r="D4" s="7" t="n">
        <f aca="false">C4*100000000</f>
        <v>1299</v>
      </c>
      <c r="E4" s="7" t="n">
        <f aca="false">B4/C4</f>
        <v>102065434.949962</v>
      </c>
    </row>
    <row r="5" customFormat="false" ht="15" hidden="false" customHeight="true" outlineLevel="0" collapsed="false">
      <c r="A5" s="4" t="s">
        <v>20</v>
      </c>
      <c r="B5" s="5" t="n">
        <v>1296.75</v>
      </c>
      <c r="C5" s="6" t="n">
        <v>1.327E-005</v>
      </c>
      <c r="D5" s="7" t="n">
        <f aca="false">C5*100000000</f>
        <v>1327</v>
      </c>
      <c r="E5" s="7" t="n">
        <f aca="false">B5/C5</f>
        <v>97720422.0045215</v>
      </c>
    </row>
    <row r="6" customFormat="false" ht="15" hidden="false" customHeight="true" outlineLevel="0" collapsed="false">
      <c r="A6" s="4" t="s">
        <v>21</v>
      </c>
      <c r="B6" s="5" t="n">
        <v>1280.26</v>
      </c>
      <c r="C6" s="6" t="n">
        <v>1.326E-005</v>
      </c>
      <c r="D6" s="7" t="n">
        <f aca="false">C6*100000000</f>
        <v>1326</v>
      </c>
      <c r="E6" s="7" t="n">
        <f aca="false">B6/C6</f>
        <v>96550527.9034691</v>
      </c>
    </row>
    <row r="7" customFormat="false" ht="15" hidden="false" customHeight="true" outlineLevel="0" collapsed="false">
      <c r="A7" s="4" t="s">
        <v>22</v>
      </c>
      <c r="B7" s="5" t="n">
        <v>74.44</v>
      </c>
      <c r="C7" s="6" t="n">
        <v>7.4E-007</v>
      </c>
      <c r="D7" s="7" t="n">
        <f aca="false">C7*100000000</f>
        <v>74</v>
      </c>
      <c r="E7" s="7" t="n">
        <f aca="false">B7/C7</f>
        <v>100594594.594595</v>
      </c>
    </row>
    <row r="8" customFormat="false" ht="15" hidden="false" customHeight="true" outlineLevel="0" collapsed="false">
      <c r="A8" s="4" t="s">
        <v>23</v>
      </c>
      <c r="B8" s="5" t="n">
        <v>3061.47</v>
      </c>
      <c r="C8" s="6" t="n">
        <v>3.153E-005</v>
      </c>
      <c r="D8" s="7" t="n">
        <f aca="false">C8*100000000</f>
        <v>3153</v>
      </c>
      <c r="E8" s="7" t="n">
        <f aca="false">B8/C8</f>
        <v>97097050.4281637</v>
      </c>
    </row>
    <row r="9" customFormat="false" ht="15" hidden="false" customHeight="true" outlineLevel="0" collapsed="false">
      <c r="A9" s="4" t="s">
        <v>24</v>
      </c>
      <c r="B9" s="5" t="n">
        <v>713.79</v>
      </c>
      <c r="C9" s="6" t="n">
        <v>7.32E-006</v>
      </c>
      <c r="D9" s="7" t="n">
        <f aca="false">C9*100000000</f>
        <v>732</v>
      </c>
      <c r="E9" s="7" t="n">
        <f aca="false">B9/C9</f>
        <v>97512295.0819672</v>
      </c>
    </row>
    <row r="10" customFormat="false" ht="15" hidden="false" customHeight="true" outlineLevel="0" collapsed="false">
      <c r="A10" s="4" t="s">
        <v>25</v>
      </c>
      <c r="B10" s="5" t="n">
        <v>652.6</v>
      </c>
      <c r="C10" s="6" t="n">
        <v>6.95E-006</v>
      </c>
      <c r="D10" s="7" t="n">
        <f aca="false">C10*100000000</f>
        <v>695</v>
      </c>
      <c r="E10" s="7" t="n">
        <f aca="false">B10/C10</f>
        <v>93899280.5755396</v>
      </c>
    </row>
    <row r="11" customFormat="false" ht="15" hidden="false" customHeight="true" outlineLevel="0" collapsed="false">
      <c r="A11" s="4" t="s">
        <v>26</v>
      </c>
      <c r="B11" s="5" t="n">
        <v>605.74</v>
      </c>
      <c r="C11" s="6" t="n">
        <v>6.26E-006</v>
      </c>
      <c r="D11" s="7" t="n">
        <f aca="false">C11*100000000</f>
        <v>626</v>
      </c>
      <c r="E11" s="7" t="n">
        <f aca="false">B11/C11</f>
        <v>96763578.2747604</v>
      </c>
    </row>
    <row r="12" customFormat="false" ht="15" hidden="false" customHeight="true" outlineLevel="0" collapsed="false">
      <c r="A12" s="4" t="s">
        <v>27</v>
      </c>
      <c r="B12" s="5" t="n">
        <v>600.94</v>
      </c>
      <c r="C12" s="6" t="n">
        <v>6.19E-006</v>
      </c>
      <c r="D12" s="7" t="n">
        <f aca="false">C12*100000000</f>
        <v>619</v>
      </c>
      <c r="E12" s="7" t="n">
        <f aca="false">B12/C12</f>
        <v>97082390.9531503</v>
      </c>
    </row>
    <row r="13" customFormat="false" ht="15" hidden="false" customHeight="true" outlineLevel="0" collapsed="false">
      <c r="A13" s="4" t="s">
        <v>28</v>
      </c>
      <c r="B13" s="5" t="n">
        <v>80.46</v>
      </c>
      <c r="C13" s="6" t="n">
        <v>8.3E-007</v>
      </c>
      <c r="D13" s="7" t="n">
        <f aca="false">C13*100000000</f>
        <v>83</v>
      </c>
      <c r="E13" s="7" t="n">
        <f aca="false">B13/C13</f>
        <v>96939759.0361446</v>
      </c>
    </row>
    <row r="14" customFormat="false" ht="15" hidden="false" customHeight="true" outlineLevel="0" collapsed="false">
      <c r="A14" s="4" t="s">
        <v>29</v>
      </c>
      <c r="B14" s="5" t="n">
        <v>80.46</v>
      </c>
      <c r="C14" s="6" t="n">
        <v>8.1E-007</v>
      </c>
      <c r="D14" s="7" t="n">
        <f aca="false">C14*100000000</f>
        <v>81</v>
      </c>
      <c r="E14" s="7" t="n">
        <f aca="false">B14/C14</f>
        <v>99333333.3333333</v>
      </c>
    </row>
    <row r="15" customFormat="false" ht="15" hidden="false" customHeight="true" outlineLevel="0" collapsed="false">
      <c r="A15" s="4" t="s">
        <v>30</v>
      </c>
      <c r="B15" s="5" t="n">
        <v>80.46</v>
      </c>
      <c r="C15" s="6" t="n">
        <v>7.4E-007</v>
      </c>
      <c r="D15" s="7" t="n">
        <f aca="false">C15*100000000</f>
        <v>74</v>
      </c>
      <c r="E15" s="7" t="n">
        <f aca="false">B15/C15</f>
        <v>108729729.72973</v>
      </c>
    </row>
    <row r="16" customFormat="false" ht="15" hidden="false" customHeight="true" outlineLevel="0" collapsed="false">
      <c r="A16" s="4" t="s">
        <v>31</v>
      </c>
      <c r="B16" s="5" t="n">
        <v>2167</v>
      </c>
      <c r="C16" s="6" t="n">
        <v>2.223E-005</v>
      </c>
      <c r="D16" s="7" t="n">
        <f aca="false">C16*100000000</f>
        <v>2223</v>
      </c>
      <c r="E16" s="7" t="n">
        <f aca="false">B16/C16</f>
        <v>97480881.691408</v>
      </c>
    </row>
    <row r="17" customFormat="false" ht="15" hidden="false" customHeight="true" outlineLevel="0" collapsed="false">
      <c r="A17" s="4" t="s">
        <v>32</v>
      </c>
      <c r="B17" s="5" t="n">
        <v>530.11</v>
      </c>
      <c r="C17" s="6" t="n">
        <v>5.35E-006</v>
      </c>
      <c r="D17" s="7" t="n">
        <f aca="false">C17*100000000</f>
        <v>535</v>
      </c>
      <c r="E17" s="7" t="n">
        <f aca="false">B17/C17</f>
        <v>99085981.3084112</v>
      </c>
    </row>
    <row r="18" customFormat="false" ht="15" hidden="false" customHeight="true" outlineLevel="0" collapsed="false">
      <c r="A18" s="4" t="s">
        <v>33</v>
      </c>
      <c r="B18" s="5" t="n">
        <v>489.5</v>
      </c>
      <c r="C18" s="6" t="n">
        <v>4.95E-006</v>
      </c>
      <c r="D18" s="7" t="n">
        <f aca="false">C18*100000000</f>
        <v>495</v>
      </c>
      <c r="E18" s="7" t="n">
        <f aca="false">B18/C18</f>
        <v>98888888.8888889</v>
      </c>
    </row>
    <row r="19" customFormat="false" ht="15" hidden="false" customHeight="true" outlineLevel="0" collapsed="false">
      <c r="A19" s="4" t="s">
        <v>34</v>
      </c>
      <c r="B19" s="5" t="n">
        <v>482.24</v>
      </c>
      <c r="C19" s="6" t="n">
        <v>5E-006</v>
      </c>
      <c r="D19" s="7" t="n">
        <f aca="false">C19*100000000</f>
        <v>500</v>
      </c>
      <c r="E19" s="7" t="n">
        <f aca="false">B19/C19</f>
        <v>96448000</v>
      </c>
    </row>
    <row r="20" customFormat="false" ht="15" hidden="false" customHeight="true" outlineLevel="0" collapsed="false">
      <c r="A20" s="4" t="s">
        <v>35</v>
      </c>
      <c r="B20" s="5" t="n">
        <v>178.31</v>
      </c>
      <c r="C20" s="6" t="n">
        <v>1.81E-006</v>
      </c>
      <c r="D20" s="7" t="n">
        <f aca="false">C20*100000000</f>
        <v>181</v>
      </c>
      <c r="E20" s="7" t="n">
        <f aca="false">B20/C20</f>
        <v>98513812.1546961</v>
      </c>
    </row>
    <row r="21" customFormat="false" ht="15" hidden="false" customHeight="true" outlineLevel="0" collapsed="false">
      <c r="A21" s="4" t="s">
        <v>36</v>
      </c>
      <c r="B21" s="5" t="n">
        <v>184.44</v>
      </c>
      <c r="C21" s="6" t="n">
        <v>1.86E-006</v>
      </c>
      <c r="D21" s="7" t="n">
        <f aca="false">C21*100000000</f>
        <v>186</v>
      </c>
      <c r="E21" s="7" t="n">
        <f aca="false">B21/C21</f>
        <v>99161290.3225807</v>
      </c>
    </row>
    <row r="22" customFormat="false" ht="15" hidden="false" customHeight="true" outlineLevel="0" collapsed="false">
      <c r="A22" s="4" t="s">
        <v>37</v>
      </c>
      <c r="B22" s="5" t="n">
        <v>1237.01</v>
      </c>
      <c r="C22" s="6" t="n">
        <v>1.246E-005</v>
      </c>
      <c r="D22" s="7" t="n">
        <f aca="false">C22*100000000</f>
        <v>1246</v>
      </c>
      <c r="E22" s="7" t="n">
        <f aca="false">B22/C22</f>
        <v>99278491.1717496</v>
      </c>
    </row>
    <row r="23" customFormat="false" ht="15" hidden="false" customHeight="true" outlineLevel="0" collapsed="false">
      <c r="A23" s="4" t="s">
        <v>38</v>
      </c>
      <c r="B23" s="5" t="n">
        <v>461.35</v>
      </c>
      <c r="C23" s="6" t="n">
        <v>4.76E-006</v>
      </c>
      <c r="D23" s="7" t="n">
        <f aca="false">C23*100000000</f>
        <v>476</v>
      </c>
      <c r="E23" s="7" t="n">
        <f aca="false">B23/C23</f>
        <v>96922268.907563</v>
      </c>
    </row>
    <row r="24" customFormat="false" ht="15" hidden="false" customHeight="true" outlineLevel="0" collapsed="false">
      <c r="A24" s="4" t="s">
        <v>39</v>
      </c>
      <c r="B24" s="5" t="n">
        <v>454.39</v>
      </c>
      <c r="C24" s="6" t="n">
        <v>4.61E-006</v>
      </c>
      <c r="D24" s="7" t="n">
        <f aca="false">C24*100000000</f>
        <v>461</v>
      </c>
      <c r="E24" s="7" t="n">
        <f aca="false">B24/C24</f>
        <v>98566160.5206074</v>
      </c>
    </row>
    <row r="25" customFormat="false" ht="15" hidden="false" customHeight="true" outlineLevel="0" collapsed="false">
      <c r="A25" s="4" t="s">
        <v>40</v>
      </c>
      <c r="B25" s="5" t="n">
        <v>334.35</v>
      </c>
      <c r="C25" s="6" t="n">
        <v>3.44E-006</v>
      </c>
      <c r="D25" s="7" t="n">
        <f aca="false">C25*100000000</f>
        <v>344</v>
      </c>
      <c r="E25" s="7" t="n">
        <f aca="false">B25/C25</f>
        <v>97194767.4418605</v>
      </c>
    </row>
    <row r="26" customFormat="false" ht="15" hidden="false" customHeight="true" outlineLevel="0" collapsed="false">
      <c r="A26" s="4" t="s">
        <v>41</v>
      </c>
      <c r="B26" s="5" t="n">
        <v>320.54</v>
      </c>
      <c r="C26" s="6" t="n">
        <v>3.4E-006</v>
      </c>
      <c r="D26" s="7" t="n">
        <f aca="false">C26*100000000</f>
        <v>340</v>
      </c>
      <c r="E26" s="7" t="n">
        <f aca="false">B26/C26</f>
        <v>94276470.5882353</v>
      </c>
    </row>
    <row r="27" customFormat="false" ht="15" hidden="false" customHeight="true" outlineLevel="0" collapsed="false">
      <c r="A27" s="4" t="s">
        <v>42</v>
      </c>
      <c r="B27" s="5" t="n">
        <v>192.77</v>
      </c>
      <c r="C27" s="6" t="n">
        <v>2.01E-006</v>
      </c>
      <c r="D27" s="7" t="n">
        <f aca="false">C27*100000000</f>
        <v>201</v>
      </c>
      <c r="E27" s="7" t="n">
        <f aca="false">B27/C27</f>
        <v>95905472.6368159</v>
      </c>
    </row>
    <row r="28" customFormat="false" ht="15" hidden="false" customHeight="true" outlineLevel="0" collapsed="false">
      <c r="A28" s="4" t="s">
        <v>43</v>
      </c>
      <c r="B28" s="5" t="n">
        <v>192.77</v>
      </c>
      <c r="C28" s="6" t="n">
        <v>2.03E-006</v>
      </c>
      <c r="D28" s="7" t="n">
        <f aca="false">C28*100000000</f>
        <v>203</v>
      </c>
      <c r="E28" s="7" t="n">
        <f aca="false">B28/C28</f>
        <v>94960591.1330049</v>
      </c>
    </row>
    <row r="29" customFormat="false" ht="15" hidden="false" customHeight="true" outlineLevel="0" collapsed="false">
      <c r="A29" s="4" t="s">
        <v>44</v>
      </c>
      <c r="B29" s="5" t="n">
        <v>387.99</v>
      </c>
      <c r="C29" s="6" t="n">
        <v>4.11E-006</v>
      </c>
      <c r="D29" s="7" t="n">
        <f aca="false">C29*100000000</f>
        <v>411</v>
      </c>
      <c r="E29" s="7" t="n">
        <f aca="false">B29/C29</f>
        <v>94401459.8540146</v>
      </c>
    </row>
    <row r="30" customFormat="false" ht="15" hidden="false" customHeight="true" outlineLevel="0" collapsed="false">
      <c r="A30" s="4" t="s">
        <v>45</v>
      </c>
      <c r="B30" s="5" t="n">
        <v>282.99</v>
      </c>
      <c r="C30" s="6" t="n">
        <v>3E-006</v>
      </c>
      <c r="D30" s="7" t="n">
        <f aca="false">C30*100000000</f>
        <v>300</v>
      </c>
      <c r="E30" s="7" t="n">
        <f aca="false">B30/C30</f>
        <v>94330000</v>
      </c>
    </row>
    <row r="31" customFormat="false" ht="15" hidden="false" customHeight="true" outlineLevel="0" collapsed="false">
      <c r="A31" s="8" t="s">
        <v>46</v>
      </c>
      <c r="B31" s="9" t="n">
        <f aca="false">SUM(B2:B30)</f>
        <v>18959.32</v>
      </c>
      <c r="C31" s="10" t="n">
        <f aca="false">SUM(C2:C30)</f>
        <v>0.00019315</v>
      </c>
      <c r="D31" s="11" t="n">
        <f aca="false">SUM(D2:D30)</f>
        <v>19315</v>
      </c>
      <c r="E31" s="11" t="n">
        <f aca="false">B31/C31</f>
        <v>98158529.640176</v>
      </c>
    </row>
    <row r="32" customFormat="false" ht="15" hidden="false" customHeight="true" outlineLevel="0" collapsed="false">
      <c r="A32" s="13" t="s">
        <v>47</v>
      </c>
      <c r="B32" s="14" t="n">
        <f aca="false">AVERAGE(B2:B30)</f>
        <v>653.769655172414</v>
      </c>
      <c r="C32" s="15" t="n">
        <f aca="false">AVERAGE(C2:C30)</f>
        <v>6.66034482758621E-006</v>
      </c>
      <c r="D32" s="16" t="n">
        <f aca="false">AVERAGE(D2:D30)</f>
        <v>666.034482758621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customFormat="false" ht="15" hidden="false" customHeight="true" outlineLevel="0" collapsed="false">
      <c r="A2" s="4" t="s">
        <v>48</v>
      </c>
      <c r="B2" s="5" t="n">
        <v>267.82</v>
      </c>
      <c r="C2" s="6" t="n">
        <v>2.87E-006</v>
      </c>
      <c r="D2" s="7" t="n">
        <f aca="false">C2*100000000</f>
        <v>287</v>
      </c>
      <c r="E2" s="7" t="n">
        <f aca="false">B2/C2</f>
        <v>93317073.1707317</v>
      </c>
    </row>
    <row r="3" customFormat="false" ht="15" hidden="false" customHeight="true" outlineLevel="0" collapsed="false">
      <c r="A3" s="4" t="s">
        <v>49</v>
      </c>
      <c r="B3" s="5" t="n">
        <v>266.06</v>
      </c>
      <c r="C3" s="6" t="n">
        <v>2.77E-006</v>
      </c>
      <c r="D3" s="7" t="n">
        <f aca="false">C3*100000000</f>
        <v>277</v>
      </c>
      <c r="E3" s="7" t="n">
        <f aca="false">B3/C3</f>
        <v>96050541.5162455</v>
      </c>
    </row>
    <row r="4" customFormat="false" ht="15" hidden="false" customHeight="true" outlineLevel="0" collapsed="false">
      <c r="A4" s="4" t="s">
        <v>50</v>
      </c>
      <c r="B4" s="5" t="n">
        <v>1229.15</v>
      </c>
      <c r="C4" s="6" t="n">
        <v>1.247E-005</v>
      </c>
      <c r="D4" s="7" t="n">
        <f aca="false">C4*100000000</f>
        <v>1247</v>
      </c>
      <c r="E4" s="7" t="n">
        <f aca="false">B4/C4</f>
        <v>98568564.5549319</v>
      </c>
    </row>
    <row r="5" customFormat="false" ht="15" hidden="false" customHeight="true" outlineLevel="0" collapsed="false">
      <c r="A5" s="4" t="s">
        <v>51</v>
      </c>
      <c r="B5" s="5" t="n">
        <v>201.61</v>
      </c>
      <c r="C5" s="6" t="n">
        <v>2.02E-006</v>
      </c>
      <c r="D5" s="7" t="n">
        <f aca="false">C5*100000000</f>
        <v>202</v>
      </c>
      <c r="E5" s="7" t="n">
        <f aca="false">B5/C5</f>
        <v>99806930.6930693</v>
      </c>
    </row>
    <row r="6" customFormat="false" ht="15" hidden="false" customHeight="true" outlineLevel="0" collapsed="false">
      <c r="A6" s="4" t="s">
        <v>52</v>
      </c>
      <c r="B6" s="5" t="n">
        <v>200.76</v>
      </c>
      <c r="C6" s="6" t="n">
        <v>2.01E-006</v>
      </c>
      <c r="D6" s="7" t="n">
        <f aca="false">C6*100000000</f>
        <v>201</v>
      </c>
      <c r="E6" s="7" t="n">
        <f aca="false">B6/C6</f>
        <v>99880597.0149254</v>
      </c>
    </row>
    <row r="7" customFormat="false" ht="15" hidden="false" customHeight="true" outlineLevel="0" collapsed="false">
      <c r="A7" s="4" t="s">
        <v>53</v>
      </c>
      <c r="B7" s="5" t="n">
        <v>3123.11</v>
      </c>
      <c r="C7" s="6" t="n">
        <v>3.111E-005</v>
      </c>
      <c r="D7" s="7" t="n">
        <f aca="false">C7*100000000</f>
        <v>3111</v>
      </c>
      <c r="E7" s="7" t="n">
        <f aca="false">B7/C7</f>
        <v>100389263.902282</v>
      </c>
    </row>
    <row r="8" customFormat="false" ht="15" hidden="false" customHeight="true" outlineLevel="0" collapsed="false">
      <c r="A8" s="4" t="s">
        <v>54</v>
      </c>
      <c r="B8" s="5" t="n">
        <v>943.34</v>
      </c>
      <c r="C8" s="6" t="n">
        <v>9.38E-006</v>
      </c>
      <c r="D8" s="7" t="n">
        <f aca="false">C8*100000000</f>
        <v>938</v>
      </c>
      <c r="E8" s="7" t="n">
        <f aca="false">B8/C8</f>
        <v>100569296.375267</v>
      </c>
    </row>
    <row r="9" customFormat="false" ht="15" hidden="false" customHeight="true" outlineLevel="0" collapsed="false">
      <c r="A9" s="4" t="s">
        <v>55</v>
      </c>
      <c r="B9" s="5" t="n">
        <v>938.49</v>
      </c>
      <c r="C9" s="6" t="n">
        <v>9.34E-006</v>
      </c>
      <c r="D9" s="7" t="n">
        <f aca="false">C9*100000000</f>
        <v>934</v>
      </c>
      <c r="E9" s="7" t="n">
        <f aca="false">B9/C9</f>
        <v>100480728.051392</v>
      </c>
    </row>
    <row r="10" customFormat="false" ht="15" hidden="false" customHeight="true" outlineLevel="0" collapsed="false">
      <c r="A10" s="4" t="s">
        <v>56</v>
      </c>
      <c r="B10" s="5" t="n">
        <v>436.69</v>
      </c>
      <c r="C10" s="6" t="n">
        <v>4.37E-006</v>
      </c>
      <c r="D10" s="7" t="n">
        <f aca="false">C10*100000000</f>
        <v>437</v>
      </c>
      <c r="E10" s="7" t="n">
        <f aca="false">B10/C10</f>
        <v>99929061.784897</v>
      </c>
    </row>
    <row r="11" customFormat="false" ht="15" hidden="false" customHeight="true" outlineLevel="0" collapsed="false">
      <c r="A11" s="4" t="s">
        <v>57</v>
      </c>
      <c r="B11" s="5" t="n">
        <v>436.69</v>
      </c>
      <c r="C11" s="6" t="n">
        <v>4.25E-006</v>
      </c>
      <c r="D11" s="7" t="n">
        <f aca="false">C11*100000000</f>
        <v>425</v>
      </c>
      <c r="E11" s="7" t="n">
        <f aca="false">B11/C11</f>
        <v>102750588.235294</v>
      </c>
    </row>
    <row r="12" customFormat="false" ht="15" hidden="false" customHeight="true" outlineLevel="0" collapsed="false">
      <c r="A12" s="4" t="s">
        <v>58</v>
      </c>
      <c r="B12" s="5" t="n">
        <v>436.69</v>
      </c>
      <c r="C12" s="6" t="n">
        <v>4.26E-006</v>
      </c>
      <c r="D12" s="7" t="n">
        <f aca="false">C12*100000000</f>
        <v>426</v>
      </c>
      <c r="E12" s="7" t="n">
        <f aca="false">B12/C12</f>
        <v>102509389.671362</v>
      </c>
    </row>
    <row r="13" customFormat="false" ht="15" hidden="false" customHeight="true" outlineLevel="0" collapsed="false">
      <c r="A13" s="4" t="s">
        <v>59</v>
      </c>
      <c r="B13" s="5" t="n">
        <v>436.69</v>
      </c>
      <c r="C13" s="6" t="n">
        <v>4.28E-006</v>
      </c>
      <c r="D13" s="7" t="n">
        <f aca="false">C13*100000000</f>
        <v>428</v>
      </c>
      <c r="E13" s="7" t="n">
        <f aca="false">B13/C13</f>
        <v>102030373.831776</v>
      </c>
    </row>
    <row r="14" customFormat="false" ht="15" hidden="false" customHeight="true" outlineLevel="0" collapsed="false">
      <c r="A14" s="4" t="s">
        <v>60</v>
      </c>
      <c r="B14" s="5" t="n">
        <v>2458.33</v>
      </c>
      <c r="C14" s="6" t="n">
        <v>2.449E-005</v>
      </c>
      <c r="D14" s="7" t="n">
        <f aca="false">C14*100000000</f>
        <v>2449</v>
      </c>
      <c r="E14" s="7" t="n">
        <f aca="false">B14/C14</f>
        <v>100380971.825235</v>
      </c>
    </row>
    <row r="15" customFormat="false" ht="15" hidden="false" customHeight="true" outlineLevel="0" collapsed="false">
      <c r="A15" s="4" t="s">
        <v>61</v>
      </c>
      <c r="B15" s="5" t="n">
        <v>404.95</v>
      </c>
      <c r="C15" s="6" t="n">
        <v>4.05E-006</v>
      </c>
      <c r="D15" s="7" t="n">
        <f aca="false">C15*100000000</f>
        <v>405</v>
      </c>
      <c r="E15" s="7" t="n">
        <f aca="false">B15/C15</f>
        <v>99987654.3209876</v>
      </c>
    </row>
    <row r="16" customFormat="false" ht="15" hidden="false" customHeight="true" outlineLevel="0" collapsed="false">
      <c r="A16" s="4" t="s">
        <v>62</v>
      </c>
      <c r="B16" s="5" t="n">
        <v>388.41</v>
      </c>
      <c r="C16" s="6" t="n">
        <v>3.79E-006</v>
      </c>
      <c r="D16" s="7" t="n">
        <f aca="false">C16*100000000</f>
        <v>379</v>
      </c>
      <c r="E16" s="7" t="n">
        <f aca="false">B16/C16</f>
        <v>102482849.604222</v>
      </c>
    </row>
    <row r="17" customFormat="false" ht="15" hidden="false" customHeight="true" outlineLevel="0" collapsed="false">
      <c r="A17" s="4" t="s">
        <v>63</v>
      </c>
      <c r="B17" s="5" t="n">
        <v>393.97</v>
      </c>
      <c r="C17" s="6" t="n">
        <v>3.87E-006</v>
      </c>
      <c r="D17" s="7" t="n">
        <f aca="false">C17*100000000</f>
        <v>387</v>
      </c>
      <c r="E17" s="7" t="n">
        <f aca="false">B17/C17</f>
        <v>101801033.591731</v>
      </c>
    </row>
    <row r="18" customFormat="false" ht="15" hidden="false" customHeight="true" outlineLevel="0" collapsed="false">
      <c r="A18" s="4" t="s">
        <v>64</v>
      </c>
      <c r="B18" s="5" t="n">
        <v>433.79</v>
      </c>
      <c r="C18" s="6" t="n">
        <v>4.33E-006</v>
      </c>
      <c r="D18" s="7" t="n">
        <f aca="false">C18*100000000</f>
        <v>433</v>
      </c>
      <c r="E18" s="7" t="n">
        <f aca="false">B18/C18</f>
        <v>100182448.036952</v>
      </c>
    </row>
    <row r="19" customFormat="false" ht="15" hidden="false" customHeight="true" outlineLevel="0" collapsed="false">
      <c r="A19" s="4" t="s">
        <v>65</v>
      </c>
      <c r="B19" s="5" t="n">
        <v>87.29</v>
      </c>
      <c r="C19" s="6" t="n">
        <v>8.5E-007</v>
      </c>
      <c r="D19" s="7" t="n">
        <f aca="false">C19*100000000</f>
        <v>85</v>
      </c>
      <c r="E19" s="7" t="n">
        <f aca="false">B19/C19</f>
        <v>102694117.647059</v>
      </c>
    </row>
    <row r="20" customFormat="false" ht="15" hidden="false" customHeight="true" outlineLevel="0" collapsed="false">
      <c r="A20" s="4" t="s">
        <v>66</v>
      </c>
      <c r="B20" s="5" t="n">
        <v>87.29</v>
      </c>
      <c r="C20" s="6" t="n">
        <v>8.4E-007</v>
      </c>
      <c r="D20" s="7" t="n">
        <f aca="false">C20*100000000</f>
        <v>84</v>
      </c>
      <c r="E20" s="7" t="n">
        <f aca="false">B20/C20</f>
        <v>103916666.666667</v>
      </c>
    </row>
    <row r="21" customFormat="false" ht="15" hidden="false" customHeight="true" outlineLevel="0" collapsed="false">
      <c r="A21" s="4" t="s">
        <v>67</v>
      </c>
      <c r="B21" s="5" t="n">
        <v>924.31</v>
      </c>
      <c r="C21" s="6" t="n">
        <v>8.99E-006</v>
      </c>
      <c r="D21" s="7" t="n">
        <f aca="false">C21*100000000</f>
        <v>899</v>
      </c>
      <c r="E21" s="7" t="n">
        <f aca="false">B21/C21</f>
        <v>102815350.389321</v>
      </c>
    </row>
    <row r="22" customFormat="false" ht="15" hidden="false" customHeight="true" outlineLevel="0" collapsed="false">
      <c r="A22" s="4" t="s">
        <v>68</v>
      </c>
      <c r="B22" s="5" t="n">
        <v>313.6</v>
      </c>
      <c r="C22" s="6" t="n">
        <v>2.95E-006</v>
      </c>
      <c r="D22" s="7" t="n">
        <f aca="false">C22*100000000</f>
        <v>295</v>
      </c>
      <c r="E22" s="7" t="n">
        <f aca="false">B22/C22</f>
        <v>106305084.745763</v>
      </c>
    </row>
    <row r="23" customFormat="false" ht="15" hidden="false" customHeight="true" outlineLevel="0" collapsed="false">
      <c r="A23" s="4" t="s">
        <v>69</v>
      </c>
      <c r="B23" s="5" t="n">
        <v>290.65</v>
      </c>
      <c r="C23" s="6" t="n">
        <v>2.76E-006</v>
      </c>
      <c r="D23" s="7" t="n">
        <f aca="false">C23*100000000</f>
        <v>276</v>
      </c>
      <c r="E23" s="7" t="n">
        <f aca="false">B23/C23</f>
        <v>105307971.014493</v>
      </c>
    </row>
    <row r="24" customFormat="false" ht="15" hidden="false" customHeight="true" outlineLevel="0" collapsed="false">
      <c r="A24" s="4" t="s">
        <v>70</v>
      </c>
      <c r="B24" s="5" t="n">
        <v>289.27</v>
      </c>
      <c r="C24" s="6" t="n">
        <v>2.76E-006</v>
      </c>
      <c r="D24" s="7" t="n">
        <f aca="false">C24*100000000</f>
        <v>276</v>
      </c>
      <c r="E24" s="7" t="n">
        <f aca="false">B24/C24</f>
        <v>104807971.014493</v>
      </c>
    </row>
    <row r="25" customFormat="false" ht="15" hidden="false" customHeight="true" outlineLevel="0" collapsed="false">
      <c r="A25" s="4" t="s">
        <v>71</v>
      </c>
      <c r="B25" s="5" t="n">
        <v>291.33</v>
      </c>
      <c r="C25" s="6" t="n">
        <v>2.78E-006</v>
      </c>
      <c r="D25" s="7" t="n">
        <f aca="false">C25*100000000</f>
        <v>278</v>
      </c>
      <c r="E25" s="7" t="n">
        <f aca="false">B25/C25</f>
        <v>104794964.028777</v>
      </c>
    </row>
    <row r="26" customFormat="false" ht="15" hidden="false" customHeight="true" outlineLevel="0" collapsed="false">
      <c r="A26" s="4" t="s">
        <v>72</v>
      </c>
      <c r="B26" s="5" t="n">
        <v>93.46</v>
      </c>
      <c r="C26" s="6" t="n">
        <v>8.9E-007</v>
      </c>
      <c r="D26" s="7" t="n">
        <f aca="false">C26*100000000</f>
        <v>89</v>
      </c>
      <c r="E26" s="7" t="n">
        <f aca="false">B26/C26</f>
        <v>105011235.955056</v>
      </c>
    </row>
    <row r="27" customFormat="false" ht="15" hidden="false" customHeight="true" outlineLevel="0" collapsed="false">
      <c r="A27" s="4" t="s">
        <v>73</v>
      </c>
      <c r="B27" s="5" t="n">
        <v>93.46</v>
      </c>
      <c r="C27" s="6" t="n">
        <v>8.8E-007</v>
      </c>
      <c r="D27" s="7" t="n">
        <f aca="false">C27*100000000</f>
        <v>88</v>
      </c>
      <c r="E27" s="7" t="n">
        <f aca="false">B27/C27</f>
        <v>106204545.454545</v>
      </c>
    </row>
    <row r="28" customFormat="false" ht="15" hidden="false" customHeight="true" outlineLevel="0" collapsed="false">
      <c r="A28" s="4" t="s">
        <v>74</v>
      </c>
      <c r="B28" s="5" t="n">
        <v>689.83</v>
      </c>
      <c r="C28" s="6" t="n">
        <v>6.53E-006</v>
      </c>
      <c r="D28" s="7" t="n">
        <f aca="false">C28*100000000</f>
        <v>653</v>
      </c>
      <c r="E28" s="7" t="n">
        <f aca="false">B28/C28</f>
        <v>105640122.511485</v>
      </c>
    </row>
    <row r="29" customFormat="false" ht="15" hidden="false" customHeight="true" outlineLevel="0" collapsed="false">
      <c r="A29" s="4" t="s">
        <v>75</v>
      </c>
      <c r="B29" s="5" t="n">
        <v>235</v>
      </c>
      <c r="C29" s="6" t="n">
        <v>2.27E-006</v>
      </c>
      <c r="D29" s="7" t="n">
        <f aca="false">C29*100000000</f>
        <v>227</v>
      </c>
      <c r="E29" s="7" t="n">
        <f aca="false">B29/C29</f>
        <v>103524229.07489</v>
      </c>
    </row>
    <row r="30" customFormat="false" ht="15" hidden="false" customHeight="true" outlineLevel="0" collapsed="false">
      <c r="A30" s="4" t="s">
        <v>76</v>
      </c>
      <c r="B30" s="5" t="n">
        <v>220.13</v>
      </c>
      <c r="C30" s="6" t="n">
        <v>2.1E-006</v>
      </c>
      <c r="D30" s="7" t="n">
        <f aca="false">C30*100000000</f>
        <v>210</v>
      </c>
      <c r="E30" s="7" t="n">
        <f aca="false">B30/C30</f>
        <v>104823809.52381</v>
      </c>
    </row>
    <row r="31" customFormat="false" ht="15" hidden="false" customHeight="true" outlineLevel="0" collapsed="false">
      <c r="A31" s="4" t="s">
        <v>77</v>
      </c>
      <c r="B31" s="5" t="n">
        <v>206.53</v>
      </c>
      <c r="C31" s="6" t="n">
        <v>1.98E-006</v>
      </c>
      <c r="D31" s="7" t="n">
        <f aca="false">C31*100000000</f>
        <v>198</v>
      </c>
      <c r="E31" s="7" t="n">
        <f aca="false">B31/C31</f>
        <v>104308080.808081</v>
      </c>
    </row>
    <row r="32" customFormat="false" ht="15" hidden="false" customHeight="true" outlineLevel="0" collapsed="false">
      <c r="A32" s="4" t="s">
        <v>78</v>
      </c>
      <c r="B32" s="5" t="n">
        <v>187.12</v>
      </c>
      <c r="C32" s="6" t="n">
        <v>1.83E-006</v>
      </c>
      <c r="D32" s="7" t="n">
        <f aca="false">C32*100000000</f>
        <v>183</v>
      </c>
      <c r="E32" s="7" t="n">
        <f aca="false">B32/C32</f>
        <v>102251366.120219</v>
      </c>
    </row>
    <row r="33" customFormat="false" ht="15" hidden="false" customHeight="true" outlineLevel="0" collapsed="false">
      <c r="A33" s="8" t="s">
        <v>46</v>
      </c>
      <c r="B33" s="9" t="n">
        <f aca="false">SUM(B2:B32)</f>
        <v>17005.82</v>
      </c>
      <c r="C33" s="10" t="n">
        <f aca="false">SUM(C2:C32)</f>
        <v>0.00016807</v>
      </c>
      <c r="D33" s="11" t="n">
        <f aca="false">SUM(D2:D32)</f>
        <v>16807</v>
      </c>
      <c r="E33" s="11" t="n">
        <f aca="false">B33/C33</f>
        <v>101182959.481169</v>
      </c>
    </row>
    <row r="34" customFormat="false" ht="15" hidden="false" customHeight="true" outlineLevel="0" collapsed="false">
      <c r="A34" s="13" t="s">
        <v>47</v>
      </c>
      <c r="B34" s="14" t="n">
        <f aca="false">AVERAGE(B2:B32)</f>
        <v>548.574838709678</v>
      </c>
      <c r="C34" s="15" t="n">
        <f aca="false">AVERAGE(C2:C32)</f>
        <v>5.42161290322581E-006</v>
      </c>
      <c r="D34" s="16" t="n">
        <f aca="false">AVERAGE(D2:D32)</f>
        <v>542.161290322581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customFormat="false" ht="15" hidden="false" customHeight="true" outlineLevel="0" collapsed="false">
      <c r="A2" s="4" t="s">
        <v>79</v>
      </c>
      <c r="B2" s="5" t="n">
        <v>130.33</v>
      </c>
      <c r="C2" s="6" t="n">
        <v>1.29E-006</v>
      </c>
      <c r="D2" s="7" t="n">
        <f aca="false">C2*100000000</f>
        <v>129</v>
      </c>
      <c r="E2" s="7" t="n">
        <f aca="false">B2/C2</f>
        <v>101031007.751938</v>
      </c>
    </row>
    <row r="3" customFormat="false" ht="15" hidden="false" customHeight="true" outlineLevel="0" collapsed="false">
      <c r="A3" s="4" t="s">
        <v>80</v>
      </c>
      <c r="B3" s="5" t="n">
        <v>130.33</v>
      </c>
      <c r="C3" s="6" t="n">
        <v>1.28E-006</v>
      </c>
      <c r="D3" s="7" t="n">
        <f aca="false">C3*100000000</f>
        <v>128</v>
      </c>
      <c r="E3" s="7" t="n">
        <f aca="false">B3/C3</f>
        <v>101820312.5</v>
      </c>
    </row>
    <row r="4" customFormat="false" ht="15" hidden="false" customHeight="true" outlineLevel="0" collapsed="false">
      <c r="A4" s="4" t="s">
        <v>81</v>
      </c>
      <c r="B4" s="5" t="n">
        <v>278.25</v>
      </c>
      <c r="C4" s="6" t="n">
        <v>2.72E-006</v>
      </c>
      <c r="D4" s="7" t="n">
        <f aca="false">C4*100000000</f>
        <v>272</v>
      </c>
      <c r="E4" s="7" t="n">
        <f aca="false">B4/C4</f>
        <v>102297794.117647</v>
      </c>
    </row>
    <row r="5" customFormat="false" ht="15" hidden="false" customHeight="true" outlineLevel="0" collapsed="false">
      <c r="A5" s="4" t="s">
        <v>82</v>
      </c>
      <c r="B5" s="5" t="n">
        <v>1156.06</v>
      </c>
      <c r="C5" s="6" t="n">
        <v>1.127E-005</v>
      </c>
      <c r="D5" s="7" t="n">
        <f aca="false">C5*100000000</f>
        <v>1127</v>
      </c>
      <c r="E5" s="7" t="n">
        <f aca="false">B5/C5</f>
        <v>102578527.062999</v>
      </c>
    </row>
    <row r="6" customFormat="false" ht="15" hidden="false" customHeight="true" outlineLevel="0" collapsed="false">
      <c r="A6" s="4" t="s">
        <v>83</v>
      </c>
      <c r="B6" s="5" t="n">
        <v>1114.35</v>
      </c>
      <c r="C6" s="6" t="n">
        <v>1.084E-005</v>
      </c>
      <c r="D6" s="7" t="n">
        <f aca="false">C6*100000000</f>
        <v>1084</v>
      </c>
      <c r="E6" s="7" t="n">
        <f aca="false">B6/C6</f>
        <v>102799815.498155</v>
      </c>
    </row>
    <row r="7" customFormat="false" ht="15" hidden="false" customHeight="true" outlineLevel="0" collapsed="false">
      <c r="A7" s="4" t="s">
        <v>84</v>
      </c>
      <c r="B7" s="5" t="n">
        <v>1127.09</v>
      </c>
      <c r="C7" s="6" t="n">
        <v>1.083E-005</v>
      </c>
      <c r="D7" s="7" t="n">
        <f aca="false">C7*100000000</f>
        <v>1083</v>
      </c>
      <c r="E7" s="7" t="n">
        <f aca="false">B7/C7</f>
        <v>104071098.799631</v>
      </c>
    </row>
    <row r="8" customFormat="false" ht="15" hidden="false" customHeight="true" outlineLevel="0" collapsed="false">
      <c r="A8" s="4" t="s">
        <v>85</v>
      </c>
      <c r="B8" s="5" t="n">
        <v>957.06</v>
      </c>
      <c r="C8" s="6" t="n">
        <v>9.25E-006</v>
      </c>
      <c r="D8" s="7" t="n">
        <f aca="false">C8*100000000</f>
        <v>925</v>
      </c>
      <c r="E8" s="7" t="n">
        <f aca="false">B8/C8</f>
        <v>103465945.945946</v>
      </c>
    </row>
    <row r="9" customFormat="false" ht="15" hidden="false" customHeight="true" outlineLevel="0" collapsed="false">
      <c r="A9" s="4" t="s">
        <v>86</v>
      </c>
      <c r="B9" s="5" t="n">
        <v>23.13</v>
      </c>
      <c r="C9" s="6" t="n">
        <v>2.2E-007</v>
      </c>
      <c r="D9" s="7" t="n">
        <f aca="false">C9*100000000</f>
        <v>22</v>
      </c>
      <c r="E9" s="7" t="n">
        <f aca="false">B9/C9</f>
        <v>105136363.636364</v>
      </c>
    </row>
    <row r="10" customFormat="false" ht="15" hidden="false" customHeight="true" outlineLevel="0" collapsed="false">
      <c r="A10" s="4" t="s">
        <v>87</v>
      </c>
      <c r="B10" s="5" t="n">
        <v>96.1</v>
      </c>
      <c r="C10" s="6" t="n">
        <v>9.1E-007</v>
      </c>
      <c r="D10" s="7" t="n">
        <f aca="false">C10*100000000</f>
        <v>91</v>
      </c>
      <c r="E10" s="7" t="n">
        <f aca="false">B10/C10</f>
        <v>105604395.604396</v>
      </c>
    </row>
    <row r="11" customFormat="false" ht="15" hidden="false" customHeight="true" outlineLevel="0" collapsed="false">
      <c r="A11" s="4" t="s">
        <v>88</v>
      </c>
      <c r="B11" s="5" t="n">
        <v>1511.82</v>
      </c>
      <c r="C11" s="6" t="n">
        <v>1.443E-005</v>
      </c>
      <c r="D11" s="7" t="n">
        <f aca="false">C11*100000000</f>
        <v>1443</v>
      </c>
      <c r="E11" s="7" t="n">
        <f aca="false">B11/C11</f>
        <v>104769230.769231</v>
      </c>
    </row>
    <row r="12" customFormat="false" ht="15" hidden="false" customHeight="true" outlineLevel="0" collapsed="false">
      <c r="A12" s="4" t="s">
        <v>89</v>
      </c>
      <c r="B12" s="5" t="n">
        <v>407.29</v>
      </c>
      <c r="C12" s="6" t="n">
        <v>3.97E-006</v>
      </c>
      <c r="D12" s="7" t="n">
        <f aca="false">C12*100000000</f>
        <v>397</v>
      </c>
      <c r="E12" s="7" t="n">
        <f aca="false">B12/C12</f>
        <v>102591939.546599</v>
      </c>
    </row>
    <row r="13" customFormat="false" ht="15" hidden="false" customHeight="true" outlineLevel="0" collapsed="false">
      <c r="A13" s="4" t="s">
        <v>90</v>
      </c>
      <c r="B13" s="5" t="n">
        <v>406.61</v>
      </c>
      <c r="C13" s="6" t="n">
        <v>3.94E-006</v>
      </c>
      <c r="D13" s="7" t="n">
        <f aca="false">C13*100000000</f>
        <v>394</v>
      </c>
      <c r="E13" s="7" t="n">
        <f aca="false">B13/C13</f>
        <v>103200507.614213</v>
      </c>
    </row>
    <row r="14" customFormat="false" ht="15" hidden="false" customHeight="true" outlineLevel="0" collapsed="false">
      <c r="A14" s="4" t="s">
        <v>91</v>
      </c>
      <c r="B14" s="5" t="n">
        <v>414.63</v>
      </c>
      <c r="C14" s="6" t="n">
        <v>4.02E-006</v>
      </c>
      <c r="D14" s="7" t="n">
        <f aca="false">C14*100000000</f>
        <v>402</v>
      </c>
      <c r="E14" s="7" t="n">
        <f aca="false">B14/C14</f>
        <v>103141791.044776</v>
      </c>
    </row>
    <row r="15" customFormat="false" ht="15" hidden="false" customHeight="true" outlineLevel="0" collapsed="false">
      <c r="A15" s="4" t="s">
        <v>92</v>
      </c>
      <c r="B15" s="5" t="n">
        <v>426.97</v>
      </c>
      <c r="C15" s="6" t="n">
        <v>4.22E-006</v>
      </c>
      <c r="D15" s="7" t="n">
        <f aca="false">C15*100000000</f>
        <v>422</v>
      </c>
      <c r="E15" s="7" t="n">
        <f aca="false">B15/C15</f>
        <v>101177725.118483</v>
      </c>
    </row>
    <row r="16" customFormat="false" ht="15" hidden="false" customHeight="true" outlineLevel="0" collapsed="false">
      <c r="A16" s="4" t="s">
        <v>93</v>
      </c>
      <c r="B16" s="5" t="n">
        <v>125.19</v>
      </c>
      <c r="C16" s="6" t="n">
        <v>1.24E-006</v>
      </c>
      <c r="D16" s="7" t="n">
        <f aca="false">C16*100000000</f>
        <v>124</v>
      </c>
      <c r="E16" s="7" t="n">
        <f aca="false">B16/C16</f>
        <v>100959677.419355</v>
      </c>
    </row>
    <row r="17" customFormat="false" ht="15" hidden="false" customHeight="true" outlineLevel="0" collapsed="false">
      <c r="A17" s="4" t="s">
        <v>94</v>
      </c>
      <c r="B17" s="5" t="n">
        <v>125.19</v>
      </c>
      <c r="C17" s="6" t="n">
        <v>1.23E-006</v>
      </c>
      <c r="D17" s="7" t="n">
        <f aca="false">C17*100000000</f>
        <v>123</v>
      </c>
      <c r="E17" s="7" t="n">
        <f aca="false">B17/C17</f>
        <v>101780487.804878</v>
      </c>
    </row>
    <row r="18" customFormat="false" ht="15" hidden="false" customHeight="true" outlineLevel="0" collapsed="false">
      <c r="A18" s="4" t="s">
        <v>95</v>
      </c>
      <c r="B18" s="5" t="n">
        <v>125.17</v>
      </c>
      <c r="C18" s="6" t="n">
        <v>1.22E-006</v>
      </c>
      <c r="D18" s="7" t="n">
        <f aca="false">C18*100000000</f>
        <v>122</v>
      </c>
      <c r="E18" s="7" t="n">
        <f aca="false">B18/C18</f>
        <v>102598360.655738</v>
      </c>
    </row>
    <row r="19" customFormat="false" ht="15" hidden="false" customHeight="true" outlineLevel="0" collapsed="false">
      <c r="A19" s="4" t="s">
        <v>96</v>
      </c>
      <c r="B19" s="5" t="n">
        <v>1382.72</v>
      </c>
      <c r="C19" s="6" t="n">
        <v>1.323E-005</v>
      </c>
      <c r="D19" s="7" t="n">
        <f aca="false">C19*100000000</f>
        <v>1323</v>
      </c>
      <c r="E19" s="7" t="n">
        <f aca="false">B19/C19</f>
        <v>104513983.371126</v>
      </c>
    </row>
    <row r="20" customFormat="false" ht="15" hidden="false" customHeight="true" outlineLevel="0" collapsed="false">
      <c r="A20" s="4" t="s">
        <v>97</v>
      </c>
      <c r="B20" s="5" t="n">
        <v>422.13</v>
      </c>
      <c r="C20" s="6" t="n">
        <v>3.8E-006</v>
      </c>
      <c r="D20" s="7" t="n">
        <f aca="false">C20*100000000</f>
        <v>380</v>
      </c>
      <c r="E20" s="7" t="n">
        <f aca="false">B20/C20</f>
        <v>111086842.105263</v>
      </c>
    </row>
    <row r="21" customFormat="false" ht="15" hidden="false" customHeight="true" outlineLevel="0" collapsed="false">
      <c r="A21" s="4" t="s">
        <v>98</v>
      </c>
      <c r="B21" s="5" t="n">
        <v>387.29</v>
      </c>
      <c r="C21" s="6" t="n">
        <v>3.35E-006</v>
      </c>
      <c r="D21" s="7" t="n">
        <f aca="false">C21*100000000</f>
        <v>335</v>
      </c>
      <c r="E21" s="7" t="n">
        <f aca="false">B21/C21</f>
        <v>115608955.223881</v>
      </c>
    </row>
    <row r="22" customFormat="false" ht="15" hidden="false" customHeight="true" outlineLevel="0" collapsed="false">
      <c r="A22" s="4" t="s">
        <v>99</v>
      </c>
      <c r="B22" s="5" t="n">
        <v>373.29</v>
      </c>
      <c r="C22" s="6" t="n">
        <v>2.98E-006</v>
      </c>
      <c r="D22" s="7" t="n">
        <f aca="false">C22*100000000</f>
        <v>298</v>
      </c>
      <c r="E22" s="7" t="n">
        <f aca="false">B22/C22</f>
        <v>125265100.671141</v>
      </c>
    </row>
    <row r="23" customFormat="false" ht="15" hidden="false" customHeight="true" outlineLevel="0" collapsed="false">
      <c r="A23" s="4" t="s">
        <v>100</v>
      </c>
      <c r="B23" s="5" t="n">
        <v>140.55</v>
      </c>
      <c r="C23" s="6" t="n">
        <v>1.13E-006</v>
      </c>
      <c r="D23" s="7" t="n">
        <f aca="false">C23*100000000</f>
        <v>113</v>
      </c>
      <c r="E23" s="7" t="n">
        <f aca="false">B23/C23</f>
        <v>124380530.973451</v>
      </c>
    </row>
    <row r="24" customFormat="false" ht="15" hidden="false" customHeight="true" outlineLevel="0" collapsed="false">
      <c r="A24" s="4" t="s">
        <v>101</v>
      </c>
      <c r="B24" s="5" t="n">
        <v>140.55</v>
      </c>
      <c r="C24" s="6" t="n">
        <v>1.11E-006</v>
      </c>
      <c r="D24" s="7" t="n">
        <f aca="false">C24*100000000</f>
        <v>111</v>
      </c>
      <c r="E24" s="7" t="n">
        <f aca="false">B24/C24</f>
        <v>126621621.621622</v>
      </c>
    </row>
    <row r="25" customFormat="false" ht="15" hidden="false" customHeight="true" outlineLevel="0" collapsed="false">
      <c r="A25" s="4" t="s">
        <v>102</v>
      </c>
      <c r="B25" s="5" t="n">
        <v>597.5</v>
      </c>
      <c r="C25" s="6" t="n">
        <v>4.61E-006</v>
      </c>
      <c r="D25" s="7" t="n">
        <f aca="false">C25*100000000</f>
        <v>461</v>
      </c>
      <c r="E25" s="7" t="n">
        <f aca="false">B25/C25</f>
        <v>129609544.468547</v>
      </c>
    </row>
    <row r="26" customFormat="false" ht="15" hidden="false" customHeight="true" outlineLevel="0" collapsed="false">
      <c r="A26" s="4" t="s">
        <v>103</v>
      </c>
      <c r="B26" s="5" t="n">
        <v>314.75</v>
      </c>
      <c r="C26" s="6" t="n">
        <v>2.44E-006</v>
      </c>
      <c r="D26" s="7" t="n">
        <f aca="false">C26*100000000</f>
        <v>244</v>
      </c>
      <c r="E26" s="7" t="n">
        <f aca="false">B26/C26</f>
        <v>128995901.639344</v>
      </c>
    </row>
    <row r="27" customFormat="false" ht="15" hidden="false" customHeight="true" outlineLevel="0" collapsed="false">
      <c r="A27" s="4" t="s">
        <v>104</v>
      </c>
      <c r="B27" s="5" t="n">
        <v>314.62</v>
      </c>
      <c r="C27" s="6" t="n">
        <v>2.46E-006</v>
      </c>
      <c r="D27" s="7" t="n">
        <f aca="false">C27*100000000</f>
        <v>246</v>
      </c>
      <c r="E27" s="7" t="n">
        <f aca="false">B27/C27</f>
        <v>127894308.943089</v>
      </c>
    </row>
    <row r="28" customFormat="false" ht="15" hidden="false" customHeight="true" outlineLevel="0" collapsed="false">
      <c r="A28" s="4" t="s">
        <v>105</v>
      </c>
      <c r="B28" s="5" t="n">
        <v>294.62</v>
      </c>
      <c r="C28" s="6" t="n">
        <v>2.26E-006</v>
      </c>
      <c r="D28" s="7" t="n">
        <f aca="false">C28*100000000</f>
        <v>226</v>
      </c>
      <c r="E28" s="7" t="n">
        <f aca="false">B28/C28</f>
        <v>130362831.858407</v>
      </c>
    </row>
    <row r="29" customFormat="false" ht="15" hidden="false" customHeight="true" outlineLevel="0" collapsed="false">
      <c r="A29" s="4" t="s">
        <v>106</v>
      </c>
      <c r="B29" s="5" t="n">
        <v>294.62</v>
      </c>
      <c r="C29" s="6" t="n">
        <v>2.33E-006</v>
      </c>
      <c r="D29" s="7" t="n">
        <f aca="false">C29*100000000</f>
        <v>233</v>
      </c>
      <c r="E29" s="7" t="n">
        <f aca="false">B29/C29</f>
        <v>126446351.93133</v>
      </c>
    </row>
    <row r="30" customFormat="false" ht="15" hidden="false" customHeight="true" outlineLevel="0" collapsed="false">
      <c r="A30" s="4" t="s">
        <v>107</v>
      </c>
      <c r="B30" s="5" t="n">
        <v>155.61</v>
      </c>
      <c r="C30" s="6" t="n">
        <v>1.22E-006</v>
      </c>
      <c r="D30" s="7" t="n">
        <f aca="false">C30*100000000</f>
        <v>122</v>
      </c>
      <c r="E30" s="7" t="n">
        <f aca="false">B30/C30</f>
        <v>127549180.327869</v>
      </c>
    </row>
    <row r="31" customFormat="false" ht="15" hidden="false" customHeight="true" outlineLevel="0" collapsed="false">
      <c r="A31" s="4" t="s">
        <v>108</v>
      </c>
      <c r="B31" s="5" t="n">
        <v>155.61</v>
      </c>
      <c r="C31" s="6" t="n">
        <v>1.23E-006</v>
      </c>
      <c r="D31" s="7" t="n">
        <f aca="false">C31*100000000</f>
        <v>123</v>
      </c>
      <c r="E31" s="7" t="n">
        <f aca="false">B31/C31</f>
        <v>126512195.121951</v>
      </c>
    </row>
    <row r="32" customFormat="false" ht="15" hidden="false" customHeight="true" outlineLevel="0" collapsed="false">
      <c r="A32" s="4" t="s">
        <v>109</v>
      </c>
      <c r="B32" s="5" t="n">
        <v>835.9</v>
      </c>
      <c r="C32" s="6" t="n">
        <v>6.52E-006</v>
      </c>
      <c r="D32" s="7" t="n">
        <f aca="false">C32*100000000</f>
        <v>652</v>
      </c>
      <c r="E32" s="7" t="n">
        <f aca="false">B32/C32</f>
        <v>128205521.472393</v>
      </c>
    </row>
    <row r="33" customFormat="false" ht="15" hidden="false" customHeight="true" outlineLevel="0" collapsed="false">
      <c r="A33" s="8" t="s">
        <v>46</v>
      </c>
      <c r="B33" s="9" t="n">
        <f aca="false">SUM(B2:B32)</f>
        <v>14365.33</v>
      </c>
      <c r="C33" s="10" t="n">
        <f aca="false">SUM(C2:C32)</f>
        <v>0.00013155</v>
      </c>
      <c r="D33" s="11" t="n">
        <f aca="false">SUM(D2:D32)</f>
        <v>13155</v>
      </c>
      <c r="E33" s="11" t="n">
        <f aca="false">B33/C33</f>
        <v>109200532.117066</v>
      </c>
    </row>
    <row r="34" customFormat="false" ht="15" hidden="false" customHeight="true" outlineLevel="0" collapsed="false">
      <c r="A34" s="13" t="s">
        <v>47</v>
      </c>
      <c r="B34" s="14" t="n">
        <f aca="false">AVERAGE(B2:B32)</f>
        <v>463.397741935484</v>
      </c>
      <c r="C34" s="15" t="n">
        <f aca="false">AVERAGE(C2:C32)</f>
        <v>4.24354838709677E-006</v>
      </c>
      <c r="D34" s="16" t="n">
        <f aca="false">AVERAGE(D2:D32)</f>
        <v>424.354838709677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customFormat="false" ht="15" hidden="false" customHeight="true" outlineLevel="0" collapsed="false">
      <c r="A2" s="4" t="s">
        <v>110</v>
      </c>
      <c r="B2" s="5" t="n">
        <v>217.64</v>
      </c>
      <c r="C2" s="6" t="n">
        <v>1.74E-006</v>
      </c>
      <c r="D2" s="7" t="n">
        <f aca="false">C2*100000000</f>
        <v>174</v>
      </c>
      <c r="E2" s="7" t="n">
        <f aca="false">IFERROR(B2/C2,"")</f>
        <v>125080459.770115</v>
      </c>
    </row>
    <row r="3" customFormat="false" ht="15" hidden="false" customHeight="true" outlineLevel="0" collapsed="false">
      <c r="A3" s="4" t="s">
        <v>111</v>
      </c>
      <c r="B3" s="5" t="n">
        <v>214.14</v>
      </c>
      <c r="C3" s="6" t="n">
        <v>1.71E-006</v>
      </c>
      <c r="D3" s="7" t="n">
        <f aca="false">C3*100000000</f>
        <v>171</v>
      </c>
      <c r="E3" s="7" t="n">
        <f aca="false">IFERROR(B3/C3,"")</f>
        <v>125228070.175439</v>
      </c>
    </row>
    <row r="4" customFormat="false" ht="15" hidden="false" customHeight="true" outlineLevel="0" collapsed="false">
      <c r="A4" s="4" t="s">
        <v>112</v>
      </c>
      <c r="B4" s="5" t="n">
        <v>1484.69</v>
      </c>
      <c r="C4" s="6" t="n">
        <v>1.177E-005</v>
      </c>
      <c r="D4" s="7" t="n">
        <f aca="false">C4*100000000</f>
        <v>1177</v>
      </c>
      <c r="E4" s="7" t="n">
        <f aca="false">IFERROR(B4/C4,"")</f>
        <v>126141886.151232</v>
      </c>
    </row>
    <row r="5" customFormat="false" ht="15" hidden="false" customHeight="true" outlineLevel="0" collapsed="false">
      <c r="A5" s="4" t="s">
        <v>113</v>
      </c>
      <c r="B5" s="5" t="n">
        <v>0</v>
      </c>
      <c r="C5" s="6" t="n">
        <v>0</v>
      </c>
      <c r="D5" s="7" t="n">
        <f aca="false">C5*100000000</f>
        <v>0</v>
      </c>
      <c r="E5" s="7" t="str">
        <f aca="false">IFERROR(B5/C5,"")</f>
        <v/>
      </c>
    </row>
    <row r="6" customFormat="false" ht="15" hidden="false" customHeight="true" outlineLevel="0" collapsed="false">
      <c r="A6" s="4" t="s">
        <v>114</v>
      </c>
      <c r="B6" s="5" t="n">
        <v>1337.63</v>
      </c>
      <c r="C6" s="6" t="n">
        <v>1.041E-005</v>
      </c>
      <c r="D6" s="7" t="n">
        <f aca="false">C6*100000000</f>
        <v>1041</v>
      </c>
      <c r="E6" s="7" t="n">
        <f aca="false">IFERROR(B6/C6,"")</f>
        <v>128494716.618636</v>
      </c>
    </row>
    <row r="7" customFormat="false" ht="15" hidden="false" customHeight="true" outlineLevel="0" collapsed="false">
      <c r="A7" s="4" t="s">
        <v>115</v>
      </c>
      <c r="B7" s="5" t="n">
        <v>0</v>
      </c>
      <c r="C7" s="6" t="n">
        <v>0</v>
      </c>
      <c r="D7" s="7" t="n">
        <f aca="false">C7*100000000</f>
        <v>0</v>
      </c>
      <c r="E7" s="7" t="str">
        <f aca="false">IFERROR(B7/C7,"")</f>
        <v/>
      </c>
    </row>
    <row r="8" customFormat="false" ht="15" hidden="false" customHeight="true" outlineLevel="0" collapsed="false">
      <c r="A8" s="4" t="s">
        <v>116</v>
      </c>
      <c r="B8" s="5" t="n">
        <v>3193.12</v>
      </c>
      <c r="C8" s="6" t="n">
        <v>2.504E-005</v>
      </c>
      <c r="D8" s="7" t="n">
        <f aca="false">C8*100000000</f>
        <v>2504</v>
      </c>
      <c r="E8" s="7" t="n">
        <f aca="false">IFERROR(B8/C8,"")</f>
        <v>127520766.773163</v>
      </c>
    </row>
    <row r="9" customFormat="false" ht="15" hidden="false" customHeight="true" outlineLevel="0" collapsed="false">
      <c r="A9" s="4" t="s">
        <v>117</v>
      </c>
      <c r="B9" s="5" t="n">
        <v>701.54</v>
      </c>
      <c r="C9" s="6" t="n">
        <v>5.54E-006</v>
      </c>
      <c r="D9" s="7" t="n">
        <f aca="false">C9*100000000</f>
        <v>554</v>
      </c>
      <c r="E9" s="7" t="n">
        <f aca="false">IFERROR(B9/C9,"")</f>
        <v>126631768.953069</v>
      </c>
    </row>
    <row r="10" customFormat="false" ht="15" hidden="false" customHeight="true" outlineLevel="0" collapsed="false">
      <c r="A10" s="4" t="s">
        <v>118</v>
      </c>
      <c r="B10" s="5" t="n">
        <v>487.78</v>
      </c>
      <c r="C10" s="6" t="n">
        <v>3.85E-006</v>
      </c>
      <c r="D10" s="7" t="n">
        <f aca="false">C10*100000000</f>
        <v>385</v>
      </c>
      <c r="E10" s="7" t="n">
        <f aca="false">IFERROR(B10/C10,"")</f>
        <v>126696103.896104</v>
      </c>
    </row>
    <row r="11" customFormat="false" ht="15" hidden="false" customHeight="true" outlineLevel="0" collapsed="false">
      <c r="A11" s="4" t="s">
        <v>119</v>
      </c>
      <c r="B11" s="5" t="n">
        <v>543.26</v>
      </c>
      <c r="C11" s="6" t="n">
        <v>4.35E-006</v>
      </c>
      <c r="D11" s="7" t="n">
        <f aca="false">C11*100000000</f>
        <v>435</v>
      </c>
      <c r="E11" s="7" t="n">
        <f aca="false">IFERROR(B11/C11,"")</f>
        <v>124887356.321839</v>
      </c>
    </row>
    <row r="12" customFormat="false" ht="15" hidden="false" customHeight="true" outlineLevel="0" collapsed="false">
      <c r="A12" s="4" t="s">
        <v>120</v>
      </c>
      <c r="B12" s="5" t="n">
        <v>484.49</v>
      </c>
      <c r="C12" s="6" t="n">
        <v>3.87E-006</v>
      </c>
      <c r="D12" s="7" t="n">
        <f aca="false">C12*100000000</f>
        <v>387</v>
      </c>
      <c r="E12" s="7" t="n">
        <f aca="false">IFERROR(B12/C12,"")</f>
        <v>125191214.470284</v>
      </c>
    </row>
    <row r="13" customFormat="false" ht="15" hidden="false" customHeight="true" outlineLevel="0" collapsed="false">
      <c r="A13" s="4" t="s">
        <v>121</v>
      </c>
      <c r="B13" s="5" t="n">
        <v>0</v>
      </c>
      <c r="C13" s="6" t="n">
        <v>0</v>
      </c>
      <c r="D13" s="7" t="n">
        <f aca="false">C13*100000000</f>
        <v>0</v>
      </c>
      <c r="E13" s="7" t="str">
        <f aca="false">IFERROR(B13/C13,"")</f>
        <v/>
      </c>
    </row>
    <row r="14" customFormat="false" ht="15" hidden="false" customHeight="true" outlineLevel="0" collapsed="false">
      <c r="A14" s="4" t="s">
        <v>122</v>
      </c>
      <c r="B14" s="5" t="n">
        <v>39.91</v>
      </c>
      <c r="C14" s="6" t="n">
        <v>3.1E-007</v>
      </c>
      <c r="D14" s="7" t="n">
        <f aca="false">C14*100000000</f>
        <v>31</v>
      </c>
      <c r="E14" s="7" t="n">
        <f aca="false">IFERROR(B14/C14,"")</f>
        <v>128741935.483871</v>
      </c>
    </row>
    <row r="15" customFormat="false" ht="15" hidden="false" customHeight="true" outlineLevel="0" collapsed="false">
      <c r="A15" s="8" t="s">
        <v>46</v>
      </c>
      <c r="B15" s="9" t="n">
        <f aca="false">SUM(B2:B14)</f>
        <v>8704.2</v>
      </c>
      <c r="C15" s="10" t="n">
        <f aca="false">SUM(C2:C14)</f>
        <v>6.859E-005</v>
      </c>
      <c r="D15" s="11" t="n">
        <f aca="false">SUM(D2:D14)</f>
        <v>6859</v>
      </c>
      <c r="E15" s="11" t="n">
        <f aca="false">B15/C15</f>
        <v>126901880.740633</v>
      </c>
    </row>
    <row r="16" customFormat="false" ht="15" hidden="false" customHeight="true" outlineLevel="0" collapsed="false">
      <c r="A16" s="13" t="s">
        <v>47</v>
      </c>
      <c r="B16" s="14" t="n">
        <f aca="false">AVERAGE(B2:B14)</f>
        <v>669.553846153846</v>
      </c>
      <c r="C16" s="15" t="n">
        <f aca="false">AVERAGE(C2:C14)</f>
        <v>5.27615384615385E-006</v>
      </c>
      <c r="D16" s="16" t="n">
        <f aca="false">AVERAGE(D2:D14)</f>
        <v>527.615384615385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17" t="s">
        <v>123</v>
      </c>
    </row>
    <row r="2" customFormat="false" ht="15" hidden="false" customHeight="true" outlineLevel="0" collapsed="false">
      <c r="A2" s="18" t="s">
        <v>124</v>
      </c>
    </row>
    <row r="4" customFormat="false" ht="15" hidden="false" customHeight="true" outlineLevel="0" collapsed="false">
      <c r="A4" s="19" t="s">
        <v>125</v>
      </c>
      <c r="B4" s="20" t="n">
        <f aca="false">Resumen!C6</f>
        <v>59034.67</v>
      </c>
    </row>
    <row r="5" customFormat="false" ht="15" hidden="false" customHeight="true" outlineLevel="0" collapsed="false">
      <c r="A5" s="19" t="s">
        <v>126</v>
      </c>
      <c r="B5" s="21" t="n">
        <f aca="false">Resumen!D6</f>
        <v>0.00056136</v>
      </c>
    </row>
    <row r="6" customFormat="false" ht="15" hidden="false" customHeight="true" outlineLevel="0" collapsed="false">
      <c r="A6" s="19" t="s">
        <v>127</v>
      </c>
      <c r="B6" s="22" t="n">
        <f aca="false">Resumen!E6</f>
        <v>56136</v>
      </c>
    </row>
    <row r="7" customFormat="false" ht="15" hidden="false" customHeight="true" outlineLevel="0" collapsed="false">
      <c r="A7" s="19" t="s">
        <v>128</v>
      </c>
      <c r="B7" s="22" t="n">
        <f aca="false">'Septiembre 2026'!E14</f>
        <v>128741935.483871</v>
      </c>
    </row>
    <row r="8" customFormat="false" ht="15" hidden="false" customHeight="true" outlineLevel="0" collapsed="false">
      <c r="A8" s="19" t="s">
        <v>129</v>
      </c>
      <c r="B8" s="20" t="n">
        <f aca="false">B5*B7</f>
        <v>72270.5729032258</v>
      </c>
    </row>
    <row r="9" customFormat="false" ht="15" hidden="false" customHeight="true" outlineLevel="0" collapsed="false">
      <c r="A9" s="23" t="s">
        <v>130</v>
      </c>
      <c r="B9" s="24" t="n">
        <f aca="false">B8-B4</f>
        <v>13235.9029032258</v>
      </c>
    </row>
    <row r="10" customFormat="false" ht="15" hidden="false" customHeight="true" outlineLevel="0" collapsed="false">
      <c r="A10" s="23" t="s">
        <v>131</v>
      </c>
      <c r="B10" s="25" t="n">
        <f aca="false">B9/B4*100</f>
        <v>22.4205588059115</v>
      </c>
    </row>
    <row r="12" customFormat="false" ht="15" hidden="false" customHeight="true" outlineLevel="0" collapsed="false">
      <c r="A12" s="12" t="s">
        <v>132</v>
      </c>
    </row>
    <row r="13" customFormat="false" ht="15" hidden="false" customHeight="true" outlineLevel="0" collapsed="false">
      <c r="A13" s="1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2026-08-24T21:59:00Z</dcterms:created>
  <dc:creator>openpyxl</dc:creator>
  <dc:description/>
  <dc:language>en-US</dc:language>
  <cp:lastModifiedBy/>
  <dcterms:modified xsi:type="dcterms:W3CDTF">2026-09-13T22:03:03Z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